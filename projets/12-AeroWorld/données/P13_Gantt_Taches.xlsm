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asks" sheetId="1" r:id="rId4"/>
    <sheet state="visible" name="Parametres" sheetId="2" r:id="rId5"/>
    <sheet state="visible" name="Guide_PowerBI" sheetId="3" r:id="rId6"/>
  </sheets>
  <definedNames/>
  <calcPr/>
  <extLst>
    <ext uri="GoogleSheetsCustomDataVersion2">
      <go:sheetsCustomData xmlns:go="http://customooxmlschemas.google.com/" r:id="rId7" roundtripDataChecksum="HvA4aLSc6cA21fKHwmaDa6b5VB5Cag4dnPhNoSDc7UQ="/>
    </ext>
  </extLst>
</workbook>
</file>

<file path=xl/sharedStrings.xml><?xml version="1.0" encoding="utf-8"?>
<sst xmlns="http://schemas.openxmlformats.org/spreadsheetml/2006/main" count="419" uniqueCount="206">
  <si>
    <t>WBS</t>
  </si>
  <si>
    <t>Phase</t>
  </si>
  <si>
    <t>Task</t>
  </si>
  <si>
    <t>Deliverable</t>
  </si>
  <si>
    <t>Validetion</t>
  </si>
  <si>
    <t>Duration (days)</t>
  </si>
  <si>
    <t>StartDate</t>
  </si>
  <si>
    <t>EndDate</t>
  </si>
  <si>
    <t>Owner</t>
  </si>
  <si>
    <t>StartOffset (days)</t>
  </si>
  <si>
    <t>Notes</t>
  </si>
  <si>
    <t>0.1</t>
  </si>
  <si>
    <t>Preparation</t>
  </si>
  <si>
    <t>Créer l'arborescence de travail (dossiers livrables, images, sources)</t>
  </si>
  <si>
    <t>Structure de dossiers</t>
  </si>
  <si>
    <t>N</t>
  </si>
  <si>
    <t>Rémi</t>
  </si>
  <si>
    <t/>
  </si>
  <si>
    <t>0.2</t>
  </si>
  <si>
    <t>Choisir le support du portfolio (GitHub Pages / CMS) + définir la structure</t>
  </si>
  <si>
    <t>Choix support + structure</t>
  </si>
  <si>
    <t>0.3</t>
  </si>
  <si>
    <t>Rassembler les livrables/projets (PDF, notebooks, slides) + captures utiles</t>
  </si>
  <si>
    <t>Assets centralisés</t>
  </si>
  <si>
    <t>1.1</t>
  </si>
  <si>
    <t>Carte mentale</t>
  </si>
  <si>
    <t>Dupliquer le modèle de carte mentale et le personnaliser</t>
  </si>
  <si>
    <t>Carte mentale (brouillon)</t>
  </si>
  <si>
    <t>1.2</t>
  </si>
  <si>
    <t>Compléter la partie Profil (compétences, outils, soft skills, objectifs)</t>
  </si>
  <si>
    <t>Carte mentale (profil)</t>
  </si>
  <si>
    <t>1.3</t>
  </si>
  <si>
    <t>Compléter la partie Projets (liens, compétences, outils, soft skills par projet)</t>
  </si>
  <si>
    <t>Carte mentale (projets)</t>
  </si>
  <si>
    <t>1.4</t>
  </si>
  <si>
    <t>Identifier où démontrer la veille + tests + posture consultant</t>
  </si>
  <si>
    <t>Carte mentale (axes)</t>
  </si>
  <si>
    <t>1.5</t>
  </si>
  <si>
    <t>Exporter la carte mentale (PDF/PNG) pour livrable</t>
  </si>
  <si>
    <t>Carte mentale exportée</t>
  </si>
  <si>
    <t>1.6</t>
  </si>
  <si>
    <t>Validation mentor — Carte mentale</t>
  </si>
  <si>
    <t>Validation 1</t>
  </si>
  <si>
    <t>Y</t>
  </si>
  <si>
    <t>2.1</t>
  </si>
  <si>
    <t>Organisation</t>
  </si>
  <si>
    <t>Synthétiser le contexte client (Aéroworld) et ses attentes</t>
  </si>
  <si>
    <t>Notes contexte</t>
  </si>
  <si>
    <t>2.2</t>
  </si>
  <si>
    <t>Reformuler la demande + objectifs + contraintes + critères de réussite</t>
  </si>
  <si>
    <t>Besoins (draft)</t>
  </si>
  <si>
    <t>2.3</t>
  </si>
  <si>
    <t>Rédiger le document 'Analyse des besoins métiers'</t>
  </si>
  <si>
    <t>Analyse besoins (draft)</t>
  </si>
  <si>
    <t>2.4</t>
  </si>
  <si>
    <t>Relecture + mise en forme + export PDF (Analyse des besoins)</t>
  </si>
  <si>
    <t>Analyse besoins (PDF)</t>
  </si>
  <si>
    <t>2.5</t>
  </si>
  <si>
    <t>Validation mentor — Analyse des besoins métiers</t>
  </si>
  <si>
    <t>Validation 2A</t>
  </si>
  <si>
    <t>2.6</t>
  </si>
  <si>
    <t>Définir périmètre (in/out), public cible, objectifs portfolio</t>
  </si>
  <si>
    <t>CDC (draft)</t>
  </si>
  <si>
    <t>2.7</t>
  </si>
  <si>
    <t>Décrire les fonctionnalités attendues (sections, navigation, liens)</t>
  </si>
  <si>
    <t>CDC (fonctionnel)</t>
  </si>
  <si>
    <t>2.8</t>
  </si>
  <si>
    <t>Spécifier Dashboard 1 (veille/tests) : pages, visuels, filtres, messages</t>
  </si>
  <si>
    <t>CDC (dash 1)</t>
  </si>
  <si>
    <t>2.9</t>
  </si>
  <si>
    <t>Spécifier Dashboard 2 (profil) : pages, visuels, filtres, preuves</t>
  </si>
  <si>
    <t>CDC (dash 2)</t>
  </si>
  <si>
    <t>2.10</t>
  </si>
  <si>
    <t>Définir critères d'acceptation + checklist qualité</t>
  </si>
  <si>
    <t>CDC (critères)</t>
  </si>
  <si>
    <t>2.11</t>
  </si>
  <si>
    <t>Relecture + mise en forme + export PDF (Cahier des charges)</t>
  </si>
  <si>
    <t>CDC (PDF)</t>
  </si>
  <si>
    <t>2.12</t>
  </si>
  <si>
    <t>Validation mentor — Cahier des charges</t>
  </si>
  <si>
    <t>Validation 2B</t>
  </si>
  <si>
    <t>2.13</t>
  </si>
  <si>
    <t>Lister les tâches + dépendances + jalons (plan projet)</t>
  </si>
  <si>
    <t>Backlog tâches</t>
  </si>
  <si>
    <t>2.14</t>
  </si>
  <si>
    <t>Créer le fichier source du Gantt (Excel/CSV) + colonnes complètes</t>
  </si>
  <si>
    <t>Fichier tâches</t>
  </si>
  <si>
    <t>2.15</t>
  </si>
  <si>
    <t>Importer dans Power BI + installer visuel Gantt + mapping des champs</t>
  </si>
  <si>
    <t>Gantt Power BI</t>
  </si>
  <si>
    <t>2.16</t>
  </si>
  <si>
    <t>Exporter Gantt (PNG/PDF) + intégrer aux livrables</t>
  </si>
  <si>
    <t>Gantt exporté</t>
  </si>
  <si>
    <t>2.17</t>
  </si>
  <si>
    <t>Validation mentor — Livrables organisationnels (besoin + CDC + Gantt)</t>
  </si>
  <si>
    <t>Validation 2 (global)</t>
  </si>
  <si>
    <t>3.1</t>
  </si>
  <si>
    <t>Mockups</t>
  </si>
  <si>
    <t>Mockup Dashboard 1 (veille/tests) — structure + visuels + filtres</t>
  </si>
  <si>
    <t>Mockup dash 1</t>
  </si>
  <si>
    <t>3.2</t>
  </si>
  <si>
    <t>Mockup Dashboard 2 (profil) — structure + visuels + filtres</t>
  </si>
  <si>
    <t>Mockup dash 2</t>
  </si>
  <si>
    <t>3.3</t>
  </si>
  <si>
    <t>Mockup Portfolio — pages/sections, ordre de lecture, navigation</t>
  </si>
  <si>
    <t>Mockup portfolio</t>
  </si>
  <si>
    <t>3.4</t>
  </si>
  <si>
    <t>Relecture cohérence (mockups ↔ objectifs ↔ preuves) + ajustements</t>
  </si>
  <si>
    <t>Mockups finalisés</t>
  </si>
  <si>
    <t>3.5</t>
  </si>
  <si>
    <t>Validation mentor — Mockups</t>
  </si>
  <si>
    <t>Validation 3</t>
  </si>
  <si>
    <t>4.1</t>
  </si>
  <si>
    <t>Production</t>
  </si>
  <si>
    <t>Définir thèmes de veille + sources fiables (liste)</t>
  </si>
  <si>
    <t>Liste veille</t>
  </si>
  <si>
    <t>4.2</t>
  </si>
  <si>
    <t>Collecter les éléments de veille (liens + notes + tags)</t>
  </si>
  <si>
    <t>Corpus veille</t>
  </si>
  <si>
    <t>4.3</t>
  </si>
  <si>
    <t>Définir tests (outil/méthode) : objectif, protocole, critères</t>
  </si>
  <si>
    <t>Plan de tests</t>
  </si>
  <si>
    <t>4.4</t>
  </si>
  <si>
    <t>Construire Dashboard 1 dans Power BI (pages/visuels selon mockup)</t>
  </si>
  <si>
    <t>PBIX dash 1</t>
  </si>
  <si>
    <t>4.5</t>
  </si>
  <si>
    <t>Documenter résultats des tests dans le dashboard (insights + reco)</t>
  </si>
  <si>
    <t>Dash 1 enrichi</t>
  </si>
  <si>
    <t>4.6</t>
  </si>
  <si>
    <t>QA Dashboard 1 (titres, lisibilité, filtres, cohérence) + corrections</t>
  </si>
  <si>
    <t>Dash 1 validé</t>
  </si>
  <si>
    <t>4.7</t>
  </si>
  <si>
    <t>Construire Dashboard 2 (profil) dans Power BI (pages/visuels)</t>
  </si>
  <si>
    <t>PBIX dash 2</t>
  </si>
  <si>
    <t>4.8</t>
  </si>
  <si>
    <t>Ajouter preuves : projets, liens GitHub, captures, synthèses</t>
  </si>
  <si>
    <t>Dash 2 enrichi</t>
  </si>
  <si>
    <t>4.9</t>
  </si>
  <si>
    <t>QA Dashboard 2 + corrections</t>
  </si>
  <si>
    <t>Dash 2 validé</t>
  </si>
  <si>
    <t>4.10</t>
  </si>
  <si>
    <t>Exports : PBIX + captures clés (PNG) pour intégration portfolio</t>
  </si>
  <si>
    <t>Exports dashboards</t>
  </si>
  <si>
    <t>4.11</t>
  </si>
  <si>
    <t>Livrables</t>
  </si>
  <si>
    <t>Écrire le script Loom (plan + étapes + erreurs fréquentes)</t>
  </si>
  <si>
    <t>Script vidéo</t>
  </si>
  <si>
    <t>4.12</t>
  </si>
  <si>
    <t>Enregistrer la vidéo Loom (&gt;= 8 minutes) + publier</t>
  </si>
  <si>
    <t>Lien Loom</t>
  </si>
  <si>
    <t>4.13</t>
  </si>
  <si>
    <t>QA vidéo (son, rythme, clarté) + retakes si besoin</t>
  </si>
  <si>
    <t>Vidéo finalisée</t>
  </si>
  <si>
    <t>4.14</t>
  </si>
  <si>
    <t>Rédiger la documentation (procédure pas à pas) + captures</t>
  </si>
  <si>
    <t>Doc (draft)</t>
  </si>
  <si>
    <t>4.15</t>
  </si>
  <si>
    <t>Mise en forme + export PDF (documentation)</t>
  </si>
  <si>
    <t>Doc (PDF)</t>
  </si>
  <si>
    <t>4.16</t>
  </si>
  <si>
    <t>Validation mentor — Livrables finaux (dashboards + vidéo + doc)</t>
  </si>
  <si>
    <t>Validation 4</t>
  </si>
  <si>
    <t>5.1</t>
  </si>
  <si>
    <t>Intégration</t>
  </si>
  <si>
    <t>Construire la structure du portfolio (pages/sections) sur GitHub/CMS</t>
  </si>
  <si>
    <t>Portfolio structure</t>
  </si>
  <si>
    <t>5.2</t>
  </si>
  <si>
    <t>Intégrer les livrables : PDFs, lien Loom, liens dashboards/projets</t>
  </si>
  <si>
    <t>Portfolio intégré</t>
  </si>
  <si>
    <t>5.3</t>
  </si>
  <si>
    <t>Intégrer visuels/captures + optimisation lecture (3 minutes)</t>
  </si>
  <si>
    <t>Portfolio visuels</t>
  </si>
  <si>
    <t>5.4</t>
  </si>
  <si>
    <t>Contrôle qualité : liens OK, navigation OK, cohérence narrative</t>
  </si>
  <si>
    <t>QA portfolio</t>
  </si>
  <si>
    <t>5.5</t>
  </si>
  <si>
    <t>Soutenance</t>
  </si>
  <si>
    <t>Préparer l'oral (plan, timing, démonstration guidée)</t>
  </si>
  <si>
    <t>Plan oral</t>
  </si>
  <si>
    <t>5.6</t>
  </si>
  <si>
    <t>Soutenance blanche (répétition) + prise de notes</t>
  </si>
  <si>
    <t>Feedback</t>
  </si>
  <si>
    <t>5.7</t>
  </si>
  <si>
    <t>Corrections post-soutenance blanche (portfolio + livrables)</t>
  </si>
  <si>
    <t>Corrections</t>
  </si>
  <si>
    <t>5.8</t>
  </si>
  <si>
    <t>Validation mentor — Soutenance blanche / portfolio final</t>
  </si>
  <si>
    <t>Validation 5</t>
  </si>
  <si>
    <t>Paramètre</t>
  </si>
  <si>
    <t>Valeur</t>
  </si>
  <si>
    <t>ProjectStart</t>
  </si>
  <si>
    <t>Date format</t>
  </si>
  <si>
    <t>yyyy-mm-dd</t>
  </si>
  <si>
    <t>Instructions</t>
  </si>
  <si>
    <t>1) Modifie StartDate/EndDate si besoin (colonnes bleues).</t>
  </si>
  <si>
    <t>2) Les colonnes Duration et StartOffset se mettent à jour automatiquement.</t>
  </si>
  <si>
    <t>3) Importe l'onglet Tasks dans Power BI et mappe Task/StartDate/EndDate/%Complete/Phase.</t>
  </si>
  <si>
    <t>Champ Power BI</t>
  </si>
  <si>
    <t>Colonne Excel (onglet Tasks)</t>
  </si>
  <si>
    <t>Task/Category</t>
  </si>
  <si>
    <t>Start Date</t>
  </si>
  <si>
    <t>End Date</t>
  </si>
  <si>
    <t>Progress / % Complete</t>
  </si>
  <si>
    <t>%Complete</t>
  </si>
  <si>
    <t>Legend / Group</t>
  </si>
  <si>
    <t>Si tu utilises un visuel Gantt (MAQ/xViz), mappe au minimum Task + StartDate + EndDate.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</si>
</sst>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6">
    <font>
      <sz val="11.0"/>
      <color theme="1"/>
      <name val="Calibri"/>
      <scheme val="minor"/>
    </font>
    <font>
      <b/>
      <color rgb="FFFFFFFF"/>
      <name val="Calibri"/>
      <scheme val="minor"/>
    </font>
    <font>
      <sz val="11.0"/>
      <color theme="1"/>
      <name val="Calibri"/>
    </font>
    <font>
      <color rgb="FF0000FF"/>
      <name val="Calibri"/>
      <scheme val="minor"/>
    </font>
    <font>
      <b/>
      <color theme="1"/>
      <name val="Calibri"/>
      <scheme val="minor"/>
    </font>
    <font>
      <color theme="1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</fills>
  <borders count="3">
    <border/>
    <border>
      <bottom style="thin">
        <color rgb="FFD9D9D9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ont="1">
      <alignment horizontal="center" readingOrder="0" shrinkToFit="0" vertical="center" wrapText="1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top"/>
    </xf>
    <xf borderId="0" fillId="0" fontId="2" numFmtId="0" xfId="0" applyAlignment="1" applyFont="1">
      <alignment horizontal="left" shrinkToFit="0" vertical="top" wrapText="1"/>
    </xf>
    <xf borderId="0" fillId="0" fontId="2" numFmtId="0" xfId="0" applyAlignment="1" applyFont="1">
      <alignment horizontal="center" readingOrder="0" vertical="center"/>
    </xf>
    <xf borderId="0" fillId="0" fontId="3" numFmtId="164" xfId="0" applyAlignment="1" applyFont="1" applyNumberFormat="1">
      <alignment horizontal="center" vertical="center"/>
    </xf>
    <xf borderId="0" fillId="0" fontId="2" numFmtId="1" xfId="0" applyAlignment="1" applyFont="1" applyNumberFormat="1">
      <alignment horizontal="center" vertical="center"/>
    </xf>
    <xf borderId="2" fillId="3" fontId="4" numFmtId="0" xfId="0" applyAlignment="1" applyBorder="1" applyFill="1" applyFont="1">
      <alignment horizontal="center" vertical="center"/>
    </xf>
    <xf borderId="2" fillId="3" fontId="4" numFmtId="0" xfId="0" applyAlignment="1" applyBorder="1" applyFont="1">
      <alignment horizontal="left" vertical="top"/>
    </xf>
    <xf borderId="2" fillId="3" fontId="4" numFmtId="0" xfId="0" applyAlignment="1" applyBorder="1" applyFont="1">
      <alignment horizontal="left" shrinkToFit="0" vertical="top" wrapText="1"/>
    </xf>
    <xf borderId="2" fillId="3" fontId="4" numFmtId="164" xfId="0" applyAlignment="1" applyBorder="1" applyFont="1" applyNumberFormat="1">
      <alignment horizontal="center" vertical="center"/>
    </xf>
    <xf borderId="2" fillId="3" fontId="4" numFmtId="1" xfId="0" applyAlignment="1" applyBorder="1" applyFont="1" applyNumberFormat="1">
      <alignment horizontal="center" vertical="center"/>
    </xf>
    <xf borderId="2" fillId="2" fontId="1" numFmtId="0" xfId="0" applyAlignment="1" applyBorder="1" applyFont="1">
      <alignment horizontal="center" vertical="center"/>
    </xf>
    <xf borderId="0" fillId="0" fontId="5" numFmtId="0" xfId="0" applyFont="1"/>
    <xf borderId="0" fillId="0" fontId="2" numFmtId="164" xfId="0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</dxfs>
  <tableStyles count="1">
    <tableStyle count="3" pivot="0" name="Task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K56" displayName="Table_1" name="Table_1" id="1">
  <tableColumns count="11">
    <tableColumn name="WBS" id="1"/>
    <tableColumn name="Phase" id="2"/>
    <tableColumn name="Task" id="3"/>
    <tableColumn name="Deliverable" id="4"/>
    <tableColumn name="Validetion" id="5"/>
    <tableColumn name="Duration (days)" id="6"/>
    <tableColumn name="StartDate" id="7"/>
    <tableColumn name="EndDate" id="8"/>
    <tableColumn name="Owner" id="9"/>
    <tableColumn name="StartOffset (days)" id="10"/>
    <tableColumn name="Notes" id="11"/>
  </tableColumns>
  <tableStyleInfo name="Task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0"/>
    <col customWidth="1" min="2" max="2" width="14.0"/>
    <col customWidth="1" min="3" max="3" width="70.0"/>
    <col customWidth="1" min="4" max="4" width="26.0"/>
    <col customWidth="1" min="5" max="5" width="10.0"/>
    <col customWidth="1" min="6" max="6" width="15.0"/>
    <col customWidth="1" min="7" max="8" width="12.0"/>
    <col customWidth="1" min="9" max="9" width="10.0"/>
    <col customWidth="1" min="10" max="10" width="18.0"/>
    <col customWidth="1" min="11" max="11" width="35.0"/>
    <col customWidth="1" min="12" max="25" width="8.7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>
      <c r="A2" s="3" t="s">
        <v>11</v>
      </c>
      <c r="B2" s="4" t="s">
        <v>12</v>
      </c>
      <c r="C2" s="5" t="s">
        <v>13</v>
      </c>
      <c r="D2" s="5" t="s">
        <v>14</v>
      </c>
      <c r="E2" s="6" t="s">
        <v>15</v>
      </c>
      <c r="F2" s="3">
        <v>1.0</v>
      </c>
      <c r="G2" s="7">
        <v>46041.0</v>
      </c>
      <c r="H2" s="7">
        <f t="shared" ref="H2:H3" si="1">G2+F2</f>
        <v>46042</v>
      </c>
      <c r="I2" s="3" t="s">
        <v>16</v>
      </c>
      <c r="J2" s="8">
        <f>G2-Parametres!$B$2</f>
        <v>0</v>
      </c>
      <c r="K2" s="5" t="s">
        <v>17</v>
      </c>
    </row>
    <row r="3">
      <c r="A3" s="3" t="s">
        <v>18</v>
      </c>
      <c r="B3" s="4" t="s">
        <v>12</v>
      </c>
      <c r="C3" s="5" t="s">
        <v>19</v>
      </c>
      <c r="D3" s="5" t="s">
        <v>20</v>
      </c>
      <c r="E3" s="3" t="s">
        <v>15</v>
      </c>
      <c r="F3" s="3">
        <v>1.0</v>
      </c>
      <c r="G3" s="7">
        <f t="shared" ref="G3:G56" si="2">H2+F3</f>
        <v>46043</v>
      </c>
      <c r="H3" s="7">
        <f t="shared" si="1"/>
        <v>46044</v>
      </c>
      <c r="I3" s="3" t="s">
        <v>16</v>
      </c>
      <c r="J3" s="8">
        <f>G3-Parametres!$B$2</f>
        <v>2</v>
      </c>
      <c r="K3" s="5" t="s">
        <v>17</v>
      </c>
    </row>
    <row r="4">
      <c r="A4" s="3" t="s">
        <v>21</v>
      </c>
      <c r="B4" s="4" t="s">
        <v>12</v>
      </c>
      <c r="C4" s="5" t="s">
        <v>22</v>
      </c>
      <c r="D4" s="5" t="s">
        <v>23</v>
      </c>
      <c r="E4" s="3" t="s">
        <v>15</v>
      </c>
      <c r="F4" s="3">
        <v>2.0</v>
      </c>
      <c r="G4" s="7">
        <f t="shared" si="2"/>
        <v>46046</v>
      </c>
      <c r="H4" s="7">
        <v>46044.0</v>
      </c>
      <c r="I4" s="3" t="s">
        <v>16</v>
      </c>
      <c r="J4" s="8">
        <f>G4-Parametres!$B$2</f>
        <v>5</v>
      </c>
      <c r="K4" s="5" t="s">
        <v>17</v>
      </c>
    </row>
    <row r="5">
      <c r="A5" s="3" t="s">
        <v>24</v>
      </c>
      <c r="B5" s="4" t="s">
        <v>25</v>
      </c>
      <c r="C5" s="5" t="s">
        <v>26</v>
      </c>
      <c r="D5" s="5" t="s">
        <v>27</v>
      </c>
      <c r="E5" s="3" t="s">
        <v>15</v>
      </c>
      <c r="F5" s="3">
        <v>1.0</v>
      </c>
      <c r="G5" s="7">
        <f t="shared" si="2"/>
        <v>46045</v>
      </c>
      <c r="H5" s="7">
        <v>46045.0</v>
      </c>
      <c r="I5" s="3" t="s">
        <v>16</v>
      </c>
      <c r="J5" s="8">
        <f>G5-Parametres!$B$2</f>
        <v>4</v>
      </c>
      <c r="K5" s="5" t="s">
        <v>17</v>
      </c>
    </row>
    <row r="6">
      <c r="A6" s="3" t="s">
        <v>28</v>
      </c>
      <c r="B6" s="4" t="s">
        <v>25</v>
      </c>
      <c r="C6" s="5" t="s">
        <v>29</v>
      </c>
      <c r="D6" s="5" t="s">
        <v>30</v>
      </c>
      <c r="E6" s="3" t="s">
        <v>15</v>
      </c>
      <c r="F6" s="3">
        <v>1.0</v>
      </c>
      <c r="G6" s="7">
        <f t="shared" si="2"/>
        <v>46046</v>
      </c>
      <c r="H6" s="7">
        <v>46046.0</v>
      </c>
      <c r="I6" s="3" t="s">
        <v>16</v>
      </c>
      <c r="J6" s="8">
        <f>G6-Parametres!$B$2</f>
        <v>5</v>
      </c>
      <c r="K6" s="5" t="s">
        <v>17</v>
      </c>
    </row>
    <row r="7">
      <c r="A7" s="3" t="s">
        <v>31</v>
      </c>
      <c r="B7" s="4" t="s">
        <v>25</v>
      </c>
      <c r="C7" s="5" t="s">
        <v>32</v>
      </c>
      <c r="D7" s="5" t="s">
        <v>33</v>
      </c>
      <c r="E7" s="3" t="s">
        <v>15</v>
      </c>
      <c r="F7" s="3">
        <v>2.0</v>
      </c>
      <c r="G7" s="7">
        <f t="shared" si="2"/>
        <v>46048</v>
      </c>
      <c r="H7" s="7">
        <v>46048.0</v>
      </c>
      <c r="I7" s="3" t="s">
        <v>16</v>
      </c>
      <c r="J7" s="8">
        <f>G7-Parametres!$B$2</f>
        <v>7</v>
      </c>
      <c r="K7" s="5" t="s">
        <v>17</v>
      </c>
    </row>
    <row r="8">
      <c r="A8" s="3" t="s">
        <v>34</v>
      </c>
      <c r="B8" s="4" t="s">
        <v>25</v>
      </c>
      <c r="C8" s="5" t="s">
        <v>35</v>
      </c>
      <c r="D8" s="5" t="s">
        <v>36</v>
      </c>
      <c r="E8" s="3" t="s">
        <v>15</v>
      </c>
      <c r="F8" s="3">
        <v>1.0</v>
      </c>
      <c r="G8" s="7">
        <f t="shared" si="2"/>
        <v>46049</v>
      </c>
      <c r="H8" s="7">
        <v>46049.0</v>
      </c>
      <c r="I8" s="3" t="s">
        <v>16</v>
      </c>
      <c r="J8" s="8">
        <f>G8-Parametres!$B$2</f>
        <v>8</v>
      </c>
      <c r="K8" s="5" t="s">
        <v>17</v>
      </c>
    </row>
    <row r="9">
      <c r="A9" s="3" t="s">
        <v>37</v>
      </c>
      <c r="B9" s="4" t="s">
        <v>25</v>
      </c>
      <c r="C9" s="5" t="s">
        <v>38</v>
      </c>
      <c r="D9" s="5" t="s">
        <v>39</v>
      </c>
      <c r="E9" s="3" t="s">
        <v>15</v>
      </c>
      <c r="F9" s="3">
        <v>1.0</v>
      </c>
      <c r="G9" s="7">
        <f t="shared" si="2"/>
        <v>46050</v>
      </c>
      <c r="H9" s="7">
        <v>46050.0</v>
      </c>
      <c r="I9" s="3" t="s">
        <v>16</v>
      </c>
      <c r="J9" s="8">
        <f>G9-Parametres!$B$2</f>
        <v>9</v>
      </c>
      <c r="K9" s="5" t="s">
        <v>17</v>
      </c>
    </row>
    <row r="10">
      <c r="A10" s="9" t="s">
        <v>40</v>
      </c>
      <c r="B10" s="10" t="s">
        <v>25</v>
      </c>
      <c r="C10" s="11" t="s">
        <v>41</v>
      </c>
      <c r="D10" s="11" t="s">
        <v>42</v>
      </c>
      <c r="E10" s="9" t="s">
        <v>43</v>
      </c>
      <c r="F10" s="9">
        <v>1.0</v>
      </c>
      <c r="G10" s="7">
        <f t="shared" si="2"/>
        <v>46051</v>
      </c>
      <c r="H10" s="12">
        <v>46051.0</v>
      </c>
      <c r="I10" s="9" t="s">
        <v>16</v>
      </c>
      <c r="J10" s="13">
        <f>G10-Parametres!$B$2</f>
        <v>10</v>
      </c>
      <c r="K10" s="11" t="s">
        <v>17</v>
      </c>
    </row>
    <row r="11">
      <c r="A11" s="3" t="s">
        <v>44</v>
      </c>
      <c r="B11" s="4" t="s">
        <v>45</v>
      </c>
      <c r="C11" s="5" t="s">
        <v>46</v>
      </c>
      <c r="D11" s="5" t="s">
        <v>47</v>
      </c>
      <c r="E11" s="3" t="s">
        <v>15</v>
      </c>
      <c r="F11" s="3">
        <v>1.0</v>
      </c>
      <c r="G11" s="7">
        <f t="shared" si="2"/>
        <v>46052</v>
      </c>
      <c r="H11" s="7">
        <v>46052.0</v>
      </c>
      <c r="I11" s="3" t="s">
        <v>16</v>
      </c>
      <c r="J11" s="8">
        <f>G11-Parametres!$B$2</f>
        <v>11</v>
      </c>
      <c r="K11" s="5" t="s">
        <v>17</v>
      </c>
    </row>
    <row r="12">
      <c r="A12" s="3" t="s">
        <v>48</v>
      </c>
      <c r="B12" s="4" t="s">
        <v>45</v>
      </c>
      <c r="C12" s="5" t="s">
        <v>49</v>
      </c>
      <c r="D12" s="5" t="s">
        <v>50</v>
      </c>
      <c r="E12" s="3" t="s">
        <v>15</v>
      </c>
      <c r="F12" s="3">
        <v>1.0</v>
      </c>
      <c r="G12" s="7">
        <f t="shared" si="2"/>
        <v>46053</v>
      </c>
      <c r="H12" s="7">
        <v>46053.0</v>
      </c>
      <c r="I12" s="3" t="s">
        <v>16</v>
      </c>
      <c r="J12" s="8">
        <f>G12-Parametres!$B$2</f>
        <v>12</v>
      </c>
      <c r="K12" s="5" t="s">
        <v>17</v>
      </c>
    </row>
    <row r="13">
      <c r="A13" s="3" t="s">
        <v>51</v>
      </c>
      <c r="B13" s="4" t="s">
        <v>45</v>
      </c>
      <c r="C13" s="5" t="s">
        <v>52</v>
      </c>
      <c r="D13" s="5" t="s">
        <v>53</v>
      </c>
      <c r="E13" s="3" t="s">
        <v>15</v>
      </c>
      <c r="F13" s="3">
        <v>1.0</v>
      </c>
      <c r="G13" s="7">
        <f t="shared" si="2"/>
        <v>46054</v>
      </c>
      <c r="H13" s="7">
        <v>46054.0</v>
      </c>
      <c r="I13" s="3" t="s">
        <v>16</v>
      </c>
      <c r="J13" s="8">
        <f>G13-Parametres!$B$2</f>
        <v>13</v>
      </c>
      <c r="K13" s="5" t="s">
        <v>17</v>
      </c>
    </row>
    <row r="14">
      <c r="A14" s="3" t="s">
        <v>54</v>
      </c>
      <c r="B14" s="4" t="s">
        <v>45</v>
      </c>
      <c r="C14" s="5" t="s">
        <v>55</v>
      </c>
      <c r="D14" s="5" t="s">
        <v>56</v>
      </c>
      <c r="E14" s="3" t="s">
        <v>15</v>
      </c>
      <c r="F14" s="3">
        <v>1.0</v>
      </c>
      <c r="G14" s="7">
        <f t="shared" si="2"/>
        <v>46055</v>
      </c>
      <c r="H14" s="7">
        <v>46055.0</v>
      </c>
      <c r="I14" s="3" t="s">
        <v>16</v>
      </c>
      <c r="J14" s="8">
        <f>G14-Parametres!$B$2</f>
        <v>14</v>
      </c>
      <c r="K14" s="5" t="s">
        <v>17</v>
      </c>
    </row>
    <row r="15">
      <c r="A15" s="9" t="s">
        <v>57</v>
      </c>
      <c r="B15" s="10" t="s">
        <v>45</v>
      </c>
      <c r="C15" s="11" t="s">
        <v>58</v>
      </c>
      <c r="D15" s="11" t="s">
        <v>59</v>
      </c>
      <c r="E15" s="9" t="s">
        <v>43</v>
      </c>
      <c r="F15" s="9">
        <v>1.0</v>
      </c>
      <c r="G15" s="7">
        <f t="shared" si="2"/>
        <v>46056</v>
      </c>
      <c r="H15" s="12">
        <v>46056.0</v>
      </c>
      <c r="I15" s="9" t="s">
        <v>16</v>
      </c>
      <c r="J15" s="13">
        <f>G15-Parametres!$B$2</f>
        <v>15</v>
      </c>
      <c r="K15" s="11" t="s">
        <v>17</v>
      </c>
    </row>
    <row r="16">
      <c r="A16" s="3" t="s">
        <v>60</v>
      </c>
      <c r="B16" s="4" t="s">
        <v>45</v>
      </c>
      <c r="C16" s="5" t="s">
        <v>61</v>
      </c>
      <c r="D16" s="5" t="s">
        <v>62</v>
      </c>
      <c r="E16" s="3" t="s">
        <v>15</v>
      </c>
      <c r="F16" s="3">
        <v>1.0</v>
      </c>
      <c r="G16" s="7">
        <f t="shared" si="2"/>
        <v>46057</v>
      </c>
      <c r="H16" s="7">
        <v>46057.0</v>
      </c>
      <c r="I16" s="3" t="s">
        <v>16</v>
      </c>
      <c r="J16" s="8">
        <f>G16-Parametres!$B$2</f>
        <v>16</v>
      </c>
      <c r="K16" s="5" t="s">
        <v>17</v>
      </c>
    </row>
    <row r="17">
      <c r="A17" s="3" t="s">
        <v>63</v>
      </c>
      <c r="B17" s="4" t="s">
        <v>45</v>
      </c>
      <c r="C17" s="5" t="s">
        <v>64</v>
      </c>
      <c r="D17" s="5" t="s">
        <v>65</v>
      </c>
      <c r="E17" s="3" t="s">
        <v>15</v>
      </c>
      <c r="F17" s="3">
        <v>1.0</v>
      </c>
      <c r="G17" s="7">
        <f t="shared" si="2"/>
        <v>46058</v>
      </c>
      <c r="H17" s="7">
        <v>46058.0</v>
      </c>
      <c r="I17" s="3" t="s">
        <v>16</v>
      </c>
      <c r="J17" s="8">
        <f>G17-Parametres!$B$2</f>
        <v>17</v>
      </c>
      <c r="K17" s="5" t="s">
        <v>17</v>
      </c>
    </row>
    <row r="18">
      <c r="A18" s="3" t="s">
        <v>66</v>
      </c>
      <c r="B18" s="4" t="s">
        <v>45</v>
      </c>
      <c r="C18" s="5" t="s">
        <v>67</v>
      </c>
      <c r="D18" s="5" t="s">
        <v>68</v>
      </c>
      <c r="E18" s="3" t="s">
        <v>15</v>
      </c>
      <c r="F18" s="3">
        <v>1.0</v>
      </c>
      <c r="G18" s="7">
        <f t="shared" si="2"/>
        <v>46059</v>
      </c>
      <c r="H18" s="7">
        <v>46059.0</v>
      </c>
      <c r="I18" s="3" t="s">
        <v>16</v>
      </c>
      <c r="J18" s="8">
        <f>G18-Parametres!$B$2</f>
        <v>18</v>
      </c>
      <c r="K18" s="5" t="s">
        <v>17</v>
      </c>
    </row>
    <row r="19">
      <c r="A19" s="3" t="s">
        <v>69</v>
      </c>
      <c r="B19" s="4" t="s">
        <v>45</v>
      </c>
      <c r="C19" s="5" t="s">
        <v>70</v>
      </c>
      <c r="D19" s="5" t="s">
        <v>71</v>
      </c>
      <c r="E19" s="3" t="s">
        <v>15</v>
      </c>
      <c r="F19" s="3">
        <v>1.0</v>
      </c>
      <c r="G19" s="7">
        <f t="shared" si="2"/>
        <v>46060</v>
      </c>
      <c r="H19" s="7">
        <v>46060.0</v>
      </c>
      <c r="I19" s="3" t="s">
        <v>16</v>
      </c>
      <c r="J19" s="8">
        <f>G19-Parametres!$B$2</f>
        <v>19</v>
      </c>
      <c r="K19" s="5" t="s">
        <v>17</v>
      </c>
    </row>
    <row r="20">
      <c r="A20" s="3" t="s">
        <v>72</v>
      </c>
      <c r="B20" s="4" t="s">
        <v>45</v>
      </c>
      <c r="C20" s="5" t="s">
        <v>73</v>
      </c>
      <c r="D20" s="5" t="s">
        <v>74</v>
      </c>
      <c r="E20" s="3" t="s">
        <v>15</v>
      </c>
      <c r="F20" s="3">
        <v>1.0</v>
      </c>
      <c r="G20" s="7">
        <f t="shared" si="2"/>
        <v>46061</v>
      </c>
      <c r="H20" s="7">
        <v>46061.0</v>
      </c>
      <c r="I20" s="3" t="s">
        <v>16</v>
      </c>
      <c r="J20" s="8">
        <f>G20-Parametres!$B$2</f>
        <v>20</v>
      </c>
      <c r="K20" s="5" t="s">
        <v>17</v>
      </c>
    </row>
    <row r="21" ht="15.75" customHeight="1">
      <c r="A21" s="3" t="s">
        <v>75</v>
      </c>
      <c r="B21" s="4" t="s">
        <v>45</v>
      </c>
      <c r="C21" s="5" t="s">
        <v>76</v>
      </c>
      <c r="D21" s="5" t="s">
        <v>77</v>
      </c>
      <c r="E21" s="3" t="s">
        <v>15</v>
      </c>
      <c r="F21" s="3">
        <v>1.0</v>
      </c>
      <c r="G21" s="7">
        <f t="shared" si="2"/>
        <v>46062</v>
      </c>
      <c r="H21" s="7">
        <v>46062.0</v>
      </c>
      <c r="I21" s="3" t="s">
        <v>16</v>
      </c>
      <c r="J21" s="8">
        <f>G21-Parametres!$B$2</f>
        <v>21</v>
      </c>
      <c r="K21" s="5" t="s">
        <v>17</v>
      </c>
    </row>
    <row r="22" ht="15.75" customHeight="1">
      <c r="A22" s="9" t="s">
        <v>78</v>
      </c>
      <c r="B22" s="10" t="s">
        <v>45</v>
      </c>
      <c r="C22" s="11" t="s">
        <v>79</v>
      </c>
      <c r="D22" s="11" t="s">
        <v>80</v>
      </c>
      <c r="E22" s="9" t="s">
        <v>43</v>
      </c>
      <c r="F22" s="9">
        <v>1.0</v>
      </c>
      <c r="G22" s="7">
        <f t="shared" si="2"/>
        <v>46063</v>
      </c>
      <c r="H22" s="12">
        <v>46063.0</v>
      </c>
      <c r="I22" s="9" t="s">
        <v>16</v>
      </c>
      <c r="J22" s="13">
        <f>G22-Parametres!$B$2</f>
        <v>22</v>
      </c>
      <c r="K22" s="11" t="s">
        <v>17</v>
      </c>
    </row>
    <row r="23" ht="15.75" customHeight="1">
      <c r="A23" s="3" t="s">
        <v>81</v>
      </c>
      <c r="B23" s="4" t="s">
        <v>45</v>
      </c>
      <c r="C23" s="5" t="s">
        <v>82</v>
      </c>
      <c r="D23" s="5" t="s">
        <v>83</v>
      </c>
      <c r="E23" s="3" t="s">
        <v>15</v>
      </c>
      <c r="F23" s="3">
        <v>1.0</v>
      </c>
      <c r="G23" s="7">
        <f t="shared" si="2"/>
        <v>46064</v>
      </c>
      <c r="H23" s="7">
        <v>46064.0</v>
      </c>
      <c r="I23" s="3" t="s">
        <v>16</v>
      </c>
      <c r="J23" s="8">
        <f>G23-Parametres!$B$2</f>
        <v>23</v>
      </c>
      <c r="K23" s="5" t="s">
        <v>17</v>
      </c>
    </row>
    <row r="24" ht="15.75" customHeight="1">
      <c r="A24" s="3" t="s">
        <v>84</v>
      </c>
      <c r="B24" s="4" t="s">
        <v>45</v>
      </c>
      <c r="C24" s="5" t="s">
        <v>85</v>
      </c>
      <c r="D24" s="5" t="s">
        <v>86</v>
      </c>
      <c r="E24" s="3" t="s">
        <v>15</v>
      </c>
      <c r="F24" s="3">
        <v>1.0</v>
      </c>
      <c r="G24" s="7">
        <f t="shared" si="2"/>
        <v>46065</v>
      </c>
      <c r="H24" s="7">
        <v>46065.0</v>
      </c>
      <c r="I24" s="3" t="s">
        <v>16</v>
      </c>
      <c r="J24" s="8">
        <f>G24-Parametres!$B$2</f>
        <v>24</v>
      </c>
      <c r="K24" s="5" t="s">
        <v>17</v>
      </c>
    </row>
    <row r="25" ht="15.75" customHeight="1">
      <c r="A25" s="3" t="s">
        <v>87</v>
      </c>
      <c r="B25" s="4" t="s">
        <v>45</v>
      </c>
      <c r="C25" s="5" t="s">
        <v>88</v>
      </c>
      <c r="D25" s="5" t="s">
        <v>89</v>
      </c>
      <c r="E25" s="3" t="s">
        <v>15</v>
      </c>
      <c r="F25" s="3">
        <v>1.0</v>
      </c>
      <c r="G25" s="7">
        <f t="shared" si="2"/>
        <v>46066</v>
      </c>
      <c r="H25" s="7">
        <v>46066.0</v>
      </c>
      <c r="I25" s="3" t="s">
        <v>16</v>
      </c>
      <c r="J25" s="8">
        <f>G25-Parametres!$B$2</f>
        <v>25</v>
      </c>
      <c r="K25" s="5" t="s">
        <v>17</v>
      </c>
    </row>
    <row r="26" ht="15.75" customHeight="1">
      <c r="A26" s="3" t="s">
        <v>90</v>
      </c>
      <c r="B26" s="4" t="s">
        <v>45</v>
      </c>
      <c r="C26" s="5" t="s">
        <v>91</v>
      </c>
      <c r="D26" s="5" t="s">
        <v>92</v>
      </c>
      <c r="E26" s="3" t="s">
        <v>15</v>
      </c>
      <c r="F26" s="3">
        <v>1.0</v>
      </c>
      <c r="G26" s="7">
        <f t="shared" si="2"/>
        <v>46067</v>
      </c>
      <c r="H26" s="7">
        <v>46067.0</v>
      </c>
      <c r="I26" s="3" t="s">
        <v>16</v>
      </c>
      <c r="J26" s="8">
        <f>G26-Parametres!$B$2</f>
        <v>26</v>
      </c>
      <c r="K26" s="5" t="s">
        <v>17</v>
      </c>
    </row>
    <row r="27" ht="15.75" customHeight="1">
      <c r="A27" s="9" t="s">
        <v>93</v>
      </c>
      <c r="B27" s="10" t="s">
        <v>45</v>
      </c>
      <c r="C27" s="11" t="s">
        <v>94</v>
      </c>
      <c r="D27" s="11" t="s">
        <v>95</v>
      </c>
      <c r="E27" s="9" t="s">
        <v>43</v>
      </c>
      <c r="F27" s="9">
        <v>1.0</v>
      </c>
      <c r="G27" s="7">
        <f t="shared" si="2"/>
        <v>46068</v>
      </c>
      <c r="H27" s="12">
        <v>46068.0</v>
      </c>
      <c r="I27" s="9" t="s">
        <v>16</v>
      </c>
      <c r="J27" s="13">
        <f>G27-Parametres!$B$2</f>
        <v>27</v>
      </c>
      <c r="K27" s="11" t="s">
        <v>17</v>
      </c>
    </row>
    <row r="28" ht="15.75" customHeight="1">
      <c r="A28" s="3" t="s">
        <v>96</v>
      </c>
      <c r="B28" s="4" t="s">
        <v>97</v>
      </c>
      <c r="C28" s="5" t="s">
        <v>98</v>
      </c>
      <c r="D28" s="5" t="s">
        <v>99</v>
      </c>
      <c r="E28" s="3" t="s">
        <v>15</v>
      </c>
      <c r="F28" s="3">
        <v>1.0</v>
      </c>
      <c r="G28" s="7">
        <f t="shared" si="2"/>
        <v>46069</v>
      </c>
      <c r="H28" s="7">
        <v>46069.0</v>
      </c>
      <c r="I28" s="3" t="s">
        <v>16</v>
      </c>
      <c r="J28" s="8">
        <f>G28-Parametres!$B$2</f>
        <v>28</v>
      </c>
      <c r="K28" s="5" t="s">
        <v>17</v>
      </c>
    </row>
    <row r="29" ht="15.75" customHeight="1">
      <c r="A29" s="3" t="s">
        <v>100</v>
      </c>
      <c r="B29" s="4" t="s">
        <v>97</v>
      </c>
      <c r="C29" s="5" t="s">
        <v>101</v>
      </c>
      <c r="D29" s="5" t="s">
        <v>102</v>
      </c>
      <c r="E29" s="3" t="s">
        <v>15</v>
      </c>
      <c r="F29" s="3">
        <v>1.0</v>
      </c>
      <c r="G29" s="7">
        <f t="shared" si="2"/>
        <v>46070</v>
      </c>
      <c r="H29" s="7">
        <v>46070.0</v>
      </c>
      <c r="I29" s="3" t="s">
        <v>16</v>
      </c>
      <c r="J29" s="8">
        <f>G29-Parametres!$B$2</f>
        <v>29</v>
      </c>
      <c r="K29" s="5" t="s">
        <v>17</v>
      </c>
    </row>
    <row r="30" ht="15.75" customHeight="1">
      <c r="A30" s="3" t="s">
        <v>103</v>
      </c>
      <c r="B30" s="4" t="s">
        <v>97</v>
      </c>
      <c r="C30" s="5" t="s">
        <v>104</v>
      </c>
      <c r="D30" s="5" t="s">
        <v>105</v>
      </c>
      <c r="E30" s="3" t="s">
        <v>15</v>
      </c>
      <c r="F30" s="3">
        <v>1.0</v>
      </c>
      <c r="G30" s="7">
        <f t="shared" si="2"/>
        <v>46071</v>
      </c>
      <c r="H30" s="7">
        <v>46071.0</v>
      </c>
      <c r="I30" s="3" t="s">
        <v>16</v>
      </c>
      <c r="J30" s="8">
        <f>G30-Parametres!$B$2</f>
        <v>30</v>
      </c>
      <c r="K30" s="5" t="s">
        <v>17</v>
      </c>
    </row>
    <row r="31" ht="15.75" customHeight="1">
      <c r="A31" s="3" t="s">
        <v>106</v>
      </c>
      <c r="B31" s="4" t="s">
        <v>97</v>
      </c>
      <c r="C31" s="5" t="s">
        <v>107</v>
      </c>
      <c r="D31" s="5" t="s">
        <v>108</v>
      </c>
      <c r="E31" s="3" t="s">
        <v>15</v>
      </c>
      <c r="F31" s="3">
        <v>1.0</v>
      </c>
      <c r="G31" s="7">
        <f t="shared" si="2"/>
        <v>46072</v>
      </c>
      <c r="H31" s="7">
        <v>46072.0</v>
      </c>
      <c r="I31" s="3" t="s">
        <v>16</v>
      </c>
      <c r="J31" s="8">
        <f>G31-Parametres!$B$2</f>
        <v>31</v>
      </c>
      <c r="K31" s="5" t="s">
        <v>17</v>
      </c>
    </row>
    <row r="32" ht="15.75" customHeight="1">
      <c r="A32" s="9" t="s">
        <v>109</v>
      </c>
      <c r="B32" s="10" t="s">
        <v>97</v>
      </c>
      <c r="C32" s="11" t="s">
        <v>110</v>
      </c>
      <c r="D32" s="11" t="s">
        <v>111</v>
      </c>
      <c r="E32" s="9" t="s">
        <v>43</v>
      </c>
      <c r="F32" s="9">
        <v>1.0</v>
      </c>
      <c r="G32" s="7">
        <f t="shared" si="2"/>
        <v>46073</v>
      </c>
      <c r="H32" s="12">
        <v>46073.0</v>
      </c>
      <c r="I32" s="9" t="s">
        <v>16</v>
      </c>
      <c r="J32" s="13">
        <f>G32-Parametres!$B$2</f>
        <v>32</v>
      </c>
      <c r="K32" s="11" t="s">
        <v>17</v>
      </c>
    </row>
    <row r="33" ht="15.75" customHeight="1">
      <c r="A33" s="3" t="s">
        <v>112</v>
      </c>
      <c r="B33" s="4" t="s">
        <v>113</v>
      </c>
      <c r="C33" s="5" t="s">
        <v>114</v>
      </c>
      <c r="D33" s="5" t="s">
        <v>115</v>
      </c>
      <c r="E33" s="3" t="s">
        <v>15</v>
      </c>
      <c r="F33" s="3">
        <v>1.0</v>
      </c>
      <c r="G33" s="7">
        <f t="shared" si="2"/>
        <v>46074</v>
      </c>
      <c r="H33" s="7">
        <v>46074.0</v>
      </c>
      <c r="I33" s="3" t="s">
        <v>16</v>
      </c>
      <c r="J33" s="8">
        <f>G33-Parametres!$B$2</f>
        <v>33</v>
      </c>
      <c r="K33" s="5" t="s">
        <v>17</v>
      </c>
    </row>
    <row r="34" ht="15.75" customHeight="1">
      <c r="A34" s="3" t="s">
        <v>116</v>
      </c>
      <c r="B34" s="4" t="s">
        <v>113</v>
      </c>
      <c r="C34" s="5" t="s">
        <v>117</v>
      </c>
      <c r="D34" s="5" t="s">
        <v>118</v>
      </c>
      <c r="E34" s="3" t="s">
        <v>15</v>
      </c>
      <c r="F34" s="3">
        <v>2.0</v>
      </c>
      <c r="G34" s="7">
        <f t="shared" si="2"/>
        <v>46076</v>
      </c>
      <c r="H34" s="7">
        <v>46076.0</v>
      </c>
      <c r="I34" s="3" t="s">
        <v>16</v>
      </c>
      <c r="J34" s="8">
        <f>G34-Parametres!$B$2</f>
        <v>35</v>
      </c>
      <c r="K34" s="5" t="s">
        <v>17</v>
      </c>
    </row>
    <row r="35" ht="15.75" customHeight="1">
      <c r="A35" s="3" t="s">
        <v>119</v>
      </c>
      <c r="B35" s="4" t="s">
        <v>113</v>
      </c>
      <c r="C35" s="5" t="s">
        <v>120</v>
      </c>
      <c r="D35" s="5" t="s">
        <v>121</v>
      </c>
      <c r="E35" s="3" t="s">
        <v>15</v>
      </c>
      <c r="F35" s="3">
        <v>1.0</v>
      </c>
      <c r="G35" s="7">
        <f t="shared" si="2"/>
        <v>46077</v>
      </c>
      <c r="H35" s="7">
        <v>46077.0</v>
      </c>
      <c r="I35" s="3" t="s">
        <v>16</v>
      </c>
      <c r="J35" s="8">
        <f>G35-Parametres!$B$2</f>
        <v>36</v>
      </c>
      <c r="K35" s="5" t="s">
        <v>17</v>
      </c>
    </row>
    <row r="36" ht="15.75" customHeight="1">
      <c r="A36" s="3" t="s">
        <v>122</v>
      </c>
      <c r="B36" s="4" t="s">
        <v>113</v>
      </c>
      <c r="C36" s="5" t="s">
        <v>123</v>
      </c>
      <c r="D36" s="5" t="s">
        <v>124</v>
      </c>
      <c r="E36" s="3" t="s">
        <v>15</v>
      </c>
      <c r="F36" s="3">
        <v>3.0</v>
      </c>
      <c r="G36" s="7">
        <f t="shared" si="2"/>
        <v>46080</v>
      </c>
      <c r="H36" s="7">
        <v>46080.0</v>
      </c>
      <c r="I36" s="3" t="s">
        <v>16</v>
      </c>
      <c r="J36" s="8">
        <f>G36-Parametres!$B$2</f>
        <v>39</v>
      </c>
      <c r="K36" s="5" t="s">
        <v>17</v>
      </c>
    </row>
    <row r="37" ht="15.75" customHeight="1">
      <c r="A37" s="3" t="s">
        <v>125</v>
      </c>
      <c r="B37" s="4" t="s">
        <v>113</v>
      </c>
      <c r="C37" s="5" t="s">
        <v>126</v>
      </c>
      <c r="D37" s="5" t="s">
        <v>127</v>
      </c>
      <c r="E37" s="3" t="s">
        <v>15</v>
      </c>
      <c r="F37" s="3">
        <v>1.0</v>
      </c>
      <c r="G37" s="7">
        <f t="shared" si="2"/>
        <v>46081</v>
      </c>
      <c r="H37" s="7">
        <v>46081.0</v>
      </c>
      <c r="I37" s="3" t="s">
        <v>16</v>
      </c>
      <c r="J37" s="8">
        <f>G37-Parametres!$B$2</f>
        <v>40</v>
      </c>
      <c r="K37" s="5" t="s">
        <v>17</v>
      </c>
    </row>
    <row r="38" ht="15.75" customHeight="1">
      <c r="A38" s="3" t="s">
        <v>128</v>
      </c>
      <c r="B38" s="4" t="s">
        <v>113</v>
      </c>
      <c r="C38" s="5" t="s">
        <v>129</v>
      </c>
      <c r="D38" s="5" t="s">
        <v>130</v>
      </c>
      <c r="E38" s="3" t="s">
        <v>15</v>
      </c>
      <c r="F38" s="3">
        <v>1.0</v>
      </c>
      <c r="G38" s="7">
        <f t="shared" si="2"/>
        <v>46082</v>
      </c>
      <c r="H38" s="7">
        <v>46082.0</v>
      </c>
      <c r="I38" s="3" t="s">
        <v>16</v>
      </c>
      <c r="J38" s="8">
        <f>G38-Parametres!$B$2</f>
        <v>41</v>
      </c>
      <c r="K38" s="5" t="s">
        <v>17</v>
      </c>
    </row>
    <row r="39" ht="15.75" customHeight="1">
      <c r="A39" s="3" t="s">
        <v>131</v>
      </c>
      <c r="B39" s="4" t="s">
        <v>113</v>
      </c>
      <c r="C39" s="5" t="s">
        <v>132</v>
      </c>
      <c r="D39" s="5" t="s">
        <v>133</v>
      </c>
      <c r="E39" s="3" t="s">
        <v>15</v>
      </c>
      <c r="F39" s="3">
        <v>2.0</v>
      </c>
      <c r="G39" s="7">
        <f t="shared" si="2"/>
        <v>46084</v>
      </c>
      <c r="H39" s="7">
        <v>46084.0</v>
      </c>
      <c r="I39" s="3" t="s">
        <v>16</v>
      </c>
      <c r="J39" s="8">
        <f>G39-Parametres!$B$2</f>
        <v>43</v>
      </c>
      <c r="K39" s="5" t="s">
        <v>17</v>
      </c>
    </row>
    <row r="40" ht="15.75" customHeight="1">
      <c r="A40" s="3" t="s">
        <v>134</v>
      </c>
      <c r="B40" s="4" t="s">
        <v>113</v>
      </c>
      <c r="C40" s="5" t="s">
        <v>135</v>
      </c>
      <c r="D40" s="5" t="s">
        <v>136</v>
      </c>
      <c r="E40" s="3" t="s">
        <v>15</v>
      </c>
      <c r="F40" s="3">
        <v>1.0</v>
      </c>
      <c r="G40" s="7">
        <f t="shared" si="2"/>
        <v>46085</v>
      </c>
      <c r="H40" s="7">
        <v>46085.0</v>
      </c>
      <c r="I40" s="3" t="s">
        <v>16</v>
      </c>
      <c r="J40" s="8">
        <f>G40-Parametres!$B$2</f>
        <v>44</v>
      </c>
      <c r="K40" s="5" t="s">
        <v>17</v>
      </c>
    </row>
    <row r="41" ht="15.75" customHeight="1">
      <c r="A41" s="3" t="s">
        <v>137</v>
      </c>
      <c r="B41" s="4" t="s">
        <v>113</v>
      </c>
      <c r="C41" s="5" t="s">
        <v>138</v>
      </c>
      <c r="D41" s="5" t="s">
        <v>139</v>
      </c>
      <c r="E41" s="3" t="s">
        <v>15</v>
      </c>
      <c r="F41" s="3">
        <v>1.0</v>
      </c>
      <c r="G41" s="7">
        <f t="shared" si="2"/>
        <v>46086</v>
      </c>
      <c r="H41" s="7">
        <v>46086.0</v>
      </c>
      <c r="I41" s="3" t="s">
        <v>16</v>
      </c>
      <c r="J41" s="8">
        <f>G41-Parametres!$B$2</f>
        <v>45</v>
      </c>
      <c r="K41" s="5" t="s">
        <v>17</v>
      </c>
    </row>
    <row r="42" ht="15.75" customHeight="1">
      <c r="A42" s="3" t="s">
        <v>140</v>
      </c>
      <c r="B42" s="4" t="s">
        <v>113</v>
      </c>
      <c r="C42" s="5" t="s">
        <v>141</v>
      </c>
      <c r="D42" s="5" t="s">
        <v>142</v>
      </c>
      <c r="E42" s="3" t="s">
        <v>15</v>
      </c>
      <c r="F42" s="3">
        <v>1.0</v>
      </c>
      <c r="G42" s="7">
        <f t="shared" si="2"/>
        <v>46087</v>
      </c>
      <c r="H42" s="7">
        <v>46087.0</v>
      </c>
      <c r="I42" s="3" t="s">
        <v>16</v>
      </c>
      <c r="J42" s="8">
        <f>G42-Parametres!$B$2</f>
        <v>46</v>
      </c>
      <c r="K42" s="5" t="s">
        <v>17</v>
      </c>
    </row>
    <row r="43" ht="15.75" customHeight="1">
      <c r="A43" s="3" t="s">
        <v>143</v>
      </c>
      <c r="B43" s="4" t="s">
        <v>144</v>
      </c>
      <c r="C43" s="5" t="s">
        <v>145</v>
      </c>
      <c r="D43" s="5" t="s">
        <v>146</v>
      </c>
      <c r="E43" s="3" t="s">
        <v>15</v>
      </c>
      <c r="F43" s="3">
        <v>1.0</v>
      </c>
      <c r="G43" s="7">
        <f t="shared" si="2"/>
        <v>46088</v>
      </c>
      <c r="H43" s="7">
        <v>46088.0</v>
      </c>
      <c r="I43" s="3" t="s">
        <v>16</v>
      </c>
      <c r="J43" s="8">
        <f>G43-Parametres!$B$2</f>
        <v>47</v>
      </c>
      <c r="K43" s="5" t="s">
        <v>17</v>
      </c>
    </row>
    <row r="44" ht="15.75" customHeight="1">
      <c r="A44" s="3" t="s">
        <v>147</v>
      </c>
      <c r="B44" s="4" t="s">
        <v>144</v>
      </c>
      <c r="C44" s="5" t="s">
        <v>148</v>
      </c>
      <c r="D44" s="5" t="s">
        <v>149</v>
      </c>
      <c r="E44" s="3" t="s">
        <v>15</v>
      </c>
      <c r="F44" s="3">
        <v>1.0</v>
      </c>
      <c r="G44" s="7">
        <f t="shared" si="2"/>
        <v>46089</v>
      </c>
      <c r="H44" s="7">
        <v>46089.0</v>
      </c>
      <c r="I44" s="3" t="s">
        <v>16</v>
      </c>
      <c r="J44" s="8">
        <f>G44-Parametres!$B$2</f>
        <v>48</v>
      </c>
      <c r="K44" s="5" t="s">
        <v>17</v>
      </c>
    </row>
    <row r="45" ht="15.75" customHeight="1">
      <c r="A45" s="3" t="s">
        <v>150</v>
      </c>
      <c r="B45" s="4" t="s">
        <v>144</v>
      </c>
      <c r="C45" s="5" t="s">
        <v>151</v>
      </c>
      <c r="D45" s="5" t="s">
        <v>152</v>
      </c>
      <c r="E45" s="3" t="s">
        <v>15</v>
      </c>
      <c r="F45" s="3">
        <v>1.0</v>
      </c>
      <c r="G45" s="7">
        <f t="shared" si="2"/>
        <v>46090</v>
      </c>
      <c r="H45" s="7">
        <v>46090.0</v>
      </c>
      <c r="I45" s="3" t="s">
        <v>16</v>
      </c>
      <c r="J45" s="8">
        <f>G45-Parametres!$B$2</f>
        <v>49</v>
      </c>
      <c r="K45" s="5" t="s">
        <v>17</v>
      </c>
    </row>
    <row r="46" ht="15.75" customHeight="1">
      <c r="A46" s="3" t="s">
        <v>153</v>
      </c>
      <c r="B46" s="4" t="s">
        <v>144</v>
      </c>
      <c r="C46" s="5" t="s">
        <v>154</v>
      </c>
      <c r="D46" s="5" t="s">
        <v>155</v>
      </c>
      <c r="E46" s="3" t="s">
        <v>15</v>
      </c>
      <c r="F46" s="3">
        <v>1.0</v>
      </c>
      <c r="G46" s="7">
        <f t="shared" si="2"/>
        <v>46091</v>
      </c>
      <c r="H46" s="7">
        <v>46091.0</v>
      </c>
      <c r="I46" s="3" t="s">
        <v>16</v>
      </c>
      <c r="J46" s="8">
        <f>G46-Parametres!$B$2</f>
        <v>50</v>
      </c>
      <c r="K46" s="5" t="s">
        <v>17</v>
      </c>
    </row>
    <row r="47" ht="15.75" customHeight="1">
      <c r="A47" s="3" t="s">
        <v>156</v>
      </c>
      <c r="B47" s="4" t="s">
        <v>144</v>
      </c>
      <c r="C47" s="5" t="s">
        <v>157</v>
      </c>
      <c r="D47" s="5" t="s">
        <v>158</v>
      </c>
      <c r="E47" s="3" t="s">
        <v>15</v>
      </c>
      <c r="F47" s="3">
        <v>1.0</v>
      </c>
      <c r="G47" s="7">
        <f t="shared" si="2"/>
        <v>46092</v>
      </c>
      <c r="H47" s="7">
        <v>46092.0</v>
      </c>
      <c r="I47" s="3" t="s">
        <v>16</v>
      </c>
      <c r="J47" s="8">
        <f>G47-Parametres!$B$2</f>
        <v>51</v>
      </c>
      <c r="K47" s="5" t="s">
        <v>17</v>
      </c>
    </row>
    <row r="48" ht="15.75" customHeight="1">
      <c r="A48" s="9" t="s">
        <v>159</v>
      </c>
      <c r="B48" s="10" t="s">
        <v>144</v>
      </c>
      <c r="C48" s="11" t="s">
        <v>160</v>
      </c>
      <c r="D48" s="11" t="s">
        <v>161</v>
      </c>
      <c r="E48" s="9" t="s">
        <v>43</v>
      </c>
      <c r="F48" s="9">
        <v>1.0</v>
      </c>
      <c r="G48" s="7">
        <f t="shared" si="2"/>
        <v>46093</v>
      </c>
      <c r="H48" s="12">
        <v>46093.0</v>
      </c>
      <c r="I48" s="9" t="s">
        <v>16</v>
      </c>
      <c r="J48" s="13">
        <f>G48-Parametres!$B$2</f>
        <v>52</v>
      </c>
      <c r="K48" s="11" t="s">
        <v>17</v>
      </c>
    </row>
    <row r="49" ht="15.75" customHeight="1">
      <c r="A49" s="3" t="s">
        <v>162</v>
      </c>
      <c r="B49" s="4" t="s">
        <v>163</v>
      </c>
      <c r="C49" s="5" t="s">
        <v>164</v>
      </c>
      <c r="D49" s="5" t="s">
        <v>165</v>
      </c>
      <c r="E49" s="3" t="s">
        <v>15</v>
      </c>
      <c r="F49" s="3">
        <v>1.0</v>
      </c>
      <c r="G49" s="7">
        <f t="shared" si="2"/>
        <v>46094</v>
      </c>
      <c r="H49" s="7">
        <v>46094.0</v>
      </c>
      <c r="I49" s="3" t="s">
        <v>16</v>
      </c>
      <c r="J49" s="8">
        <f>G49-Parametres!$B$2</f>
        <v>53</v>
      </c>
      <c r="K49" s="5" t="s">
        <v>17</v>
      </c>
    </row>
    <row r="50" ht="15.75" customHeight="1">
      <c r="A50" s="3" t="s">
        <v>166</v>
      </c>
      <c r="B50" s="4" t="s">
        <v>163</v>
      </c>
      <c r="C50" s="5" t="s">
        <v>167</v>
      </c>
      <c r="D50" s="5" t="s">
        <v>168</v>
      </c>
      <c r="E50" s="3" t="s">
        <v>15</v>
      </c>
      <c r="F50" s="3">
        <v>2.0</v>
      </c>
      <c r="G50" s="7">
        <f t="shared" si="2"/>
        <v>46096</v>
      </c>
      <c r="H50" s="7">
        <v>46096.0</v>
      </c>
      <c r="I50" s="3" t="s">
        <v>16</v>
      </c>
      <c r="J50" s="8">
        <f>G50-Parametres!$B$2</f>
        <v>55</v>
      </c>
      <c r="K50" s="5" t="s">
        <v>17</v>
      </c>
    </row>
    <row r="51" ht="15.75" customHeight="1">
      <c r="A51" s="3" t="s">
        <v>169</v>
      </c>
      <c r="B51" s="4" t="s">
        <v>163</v>
      </c>
      <c r="C51" s="5" t="s">
        <v>170</v>
      </c>
      <c r="D51" s="5" t="s">
        <v>171</v>
      </c>
      <c r="E51" s="3" t="s">
        <v>15</v>
      </c>
      <c r="F51" s="3">
        <v>1.0</v>
      </c>
      <c r="G51" s="7">
        <f t="shared" si="2"/>
        <v>46097</v>
      </c>
      <c r="H51" s="7">
        <v>46097.0</v>
      </c>
      <c r="I51" s="3" t="s">
        <v>16</v>
      </c>
      <c r="J51" s="8">
        <f>G51-Parametres!$B$2</f>
        <v>56</v>
      </c>
      <c r="K51" s="5" t="s">
        <v>17</v>
      </c>
    </row>
    <row r="52" ht="15.75" customHeight="1">
      <c r="A52" s="3" t="s">
        <v>172</v>
      </c>
      <c r="B52" s="4" t="s">
        <v>163</v>
      </c>
      <c r="C52" s="5" t="s">
        <v>173</v>
      </c>
      <c r="D52" s="5" t="s">
        <v>174</v>
      </c>
      <c r="E52" s="3" t="s">
        <v>15</v>
      </c>
      <c r="F52" s="3">
        <v>1.0</v>
      </c>
      <c r="G52" s="7">
        <f t="shared" si="2"/>
        <v>46098</v>
      </c>
      <c r="H52" s="7">
        <v>46098.0</v>
      </c>
      <c r="I52" s="3" t="s">
        <v>16</v>
      </c>
      <c r="J52" s="8">
        <f>G52-Parametres!$B$2</f>
        <v>57</v>
      </c>
      <c r="K52" s="5" t="s">
        <v>17</v>
      </c>
    </row>
    <row r="53" ht="15.75" customHeight="1">
      <c r="A53" s="3" t="s">
        <v>175</v>
      </c>
      <c r="B53" s="4" t="s">
        <v>176</v>
      </c>
      <c r="C53" s="5" t="s">
        <v>177</v>
      </c>
      <c r="D53" s="5" t="s">
        <v>178</v>
      </c>
      <c r="E53" s="3" t="s">
        <v>15</v>
      </c>
      <c r="F53" s="3">
        <v>1.0</v>
      </c>
      <c r="G53" s="7">
        <f t="shared" si="2"/>
        <v>46099</v>
      </c>
      <c r="H53" s="7">
        <v>46099.0</v>
      </c>
      <c r="I53" s="3" t="s">
        <v>16</v>
      </c>
      <c r="J53" s="8">
        <f>G53-Parametres!$B$2</f>
        <v>58</v>
      </c>
      <c r="K53" s="5" t="s">
        <v>17</v>
      </c>
    </row>
    <row r="54" ht="15.75" customHeight="1">
      <c r="A54" s="3" t="s">
        <v>179</v>
      </c>
      <c r="B54" s="4" t="s">
        <v>176</v>
      </c>
      <c r="C54" s="5" t="s">
        <v>180</v>
      </c>
      <c r="D54" s="5" t="s">
        <v>181</v>
      </c>
      <c r="E54" s="3" t="s">
        <v>15</v>
      </c>
      <c r="F54" s="3">
        <v>1.0</v>
      </c>
      <c r="G54" s="7">
        <f t="shared" si="2"/>
        <v>46100</v>
      </c>
      <c r="H54" s="7">
        <v>46100.0</v>
      </c>
      <c r="I54" s="3" t="s">
        <v>16</v>
      </c>
      <c r="J54" s="8">
        <f>G54-Parametres!$B$2</f>
        <v>59</v>
      </c>
      <c r="K54" s="5" t="s">
        <v>17</v>
      </c>
    </row>
    <row r="55" ht="15.75" customHeight="1">
      <c r="A55" s="3" t="s">
        <v>182</v>
      </c>
      <c r="B55" s="4" t="s">
        <v>176</v>
      </c>
      <c r="C55" s="5" t="s">
        <v>183</v>
      </c>
      <c r="D55" s="5" t="s">
        <v>184</v>
      </c>
      <c r="E55" s="3" t="s">
        <v>15</v>
      </c>
      <c r="F55" s="3">
        <v>1.0</v>
      </c>
      <c r="G55" s="7">
        <f t="shared" si="2"/>
        <v>46101</v>
      </c>
      <c r="H55" s="7">
        <v>46101.0</v>
      </c>
      <c r="I55" s="3" t="s">
        <v>16</v>
      </c>
      <c r="J55" s="8">
        <f>G55-Parametres!$B$2</f>
        <v>60</v>
      </c>
      <c r="K55" s="5" t="s">
        <v>17</v>
      </c>
    </row>
    <row r="56" ht="15.75" customHeight="1">
      <c r="A56" s="9" t="s">
        <v>185</v>
      </c>
      <c r="B56" s="10" t="s">
        <v>176</v>
      </c>
      <c r="C56" s="11" t="s">
        <v>186</v>
      </c>
      <c r="D56" s="11" t="s">
        <v>187</v>
      </c>
      <c r="E56" s="9" t="s">
        <v>43</v>
      </c>
      <c r="F56" s="9">
        <v>1.0</v>
      </c>
      <c r="G56" s="7">
        <f t="shared" si="2"/>
        <v>46102</v>
      </c>
      <c r="H56" s="12">
        <v>46102.0</v>
      </c>
      <c r="I56" s="9" t="s">
        <v>16</v>
      </c>
      <c r="J56" s="13">
        <f>G56-Parametres!$B$2</f>
        <v>61</v>
      </c>
      <c r="K56" s="11" t="s">
        <v>17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0"/>
    <col customWidth="1" min="2" max="2" width="30.0"/>
    <col customWidth="1" min="3" max="26" width="8.71"/>
  </cols>
  <sheetData>
    <row r="1">
      <c r="A1" s="14" t="s">
        <v>188</v>
      </c>
      <c r="B1" s="14" t="s">
        <v>189</v>
      </c>
    </row>
    <row r="2">
      <c r="A2" s="15" t="s">
        <v>190</v>
      </c>
      <c r="B2" s="16">
        <v>46041.0</v>
      </c>
    </row>
    <row r="3">
      <c r="A3" s="15" t="s">
        <v>191</v>
      </c>
      <c r="B3" s="15" t="s">
        <v>192</v>
      </c>
    </row>
    <row r="5">
      <c r="A5" s="15" t="s">
        <v>193</v>
      </c>
    </row>
    <row r="6">
      <c r="A6" s="15" t="s">
        <v>194</v>
      </c>
    </row>
    <row r="7">
      <c r="A7" s="15" t="s">
        <v>195</v>
      </c>
    </row>
    <row r="8">
      <c r="A8" s="15" t="s">
        <v>196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0"/>
    <col customWidth="1" min="2" max="2" width="40.0"/>
    <col customWidth="1" min="3" max="26" width="8.71"/>
  </cols>
  <sheetData>
    <row r="1">
      <c r="A1" s="14" t="s">
        <v>197</v>
      </c>
      <c r="B1" s="14" t="s">
        <v>198</v>
      </c>
    </row>
    <row r="2">
      <c r="A2" s="15" t="s">
        <v>199</v>
      </c>
      <c r="B2" s="15" t="s">
        <v>2</v>
      </c>
    </row>
    <row r="3">
      <c r="A3" s="15" t="s">
        <v>200</v>
      </c>
      <c r="B3" s="15" t="s">
        <v>6</v>
      </c>
    </row>
    <row r="4">
      <c r="A4" s="15" t="s">
        <v>201</v>
      </c>
      <c r="B4" s="15" t="s">
        <v>7</v>
      </c>
    </row>
    <row r="5">
      <c r="A5" s="15" t="s">
        <v>202</v>
      </c>
      <c r="B5" s="15" t="s">
        <v>203</v>
      </c>
    </row>
    <row r="6">
      <c r="A6" s="15" t="s">
        <v>204</v>
      </c>
      <c r="B6" s="15" t="s">
        <v>1</v>
      </c>
    </row>
    <row r="8">
      <c r="A8" s="15" t="s">
        <v>10</v>
      </c>
      <c r="B8" s="15" t="s">
        <v>205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